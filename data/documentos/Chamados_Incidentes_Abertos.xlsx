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ados_Abertos" sheetId="1" state="visible" r:id="rId3"/>
    <sheet name="Resumo" sheetId="2" state="visible" r:id="rId4"/>
  </sheets>
  <definedNames>
    <definedName function="false" hidden="true" localSheetId="0" name="_xlnm._FilterDatabase" vbProcedure="false">Chamados_Abertos!$A$1:$M$23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<sst xmlns="http://schemas.openxmlformats.org/spreadsheetml/2006/main" count="293" uniqueCount="133">
  <si>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ID Chamado</t>
  </si>
  <si>
    <t xml:space="preserve">Data Abertura</t>
  </si>
  <si>
    <t xml:space="preserve">Modulo SAP</t>
  </si>
  <si>
    <t xml:space="preserve">Sistema</t>
  </si>
  <si>
    <t xml:space="preserve">Categoria</t>
  </si>
  <si>
    <t xml:space="preserve">Titulo</t>
  </si>
  <si>
    <t xml:space="preserve">Descricao</t>
  </si>
  <si>
    <t xml:space="preserve">Prioridade</t>
  </si>
  <si>
    <t xml:space="preserve">Status</t>
  </si>
  <si>
    <t xml:space="preserve">Responsavel</t>
  </si>
  <si>
    <t xml:space="preserve">SLA (h)</t>
  </si>
  <si>
    <t xml:space="preserve">Ferramenta</t>
  </si>
  <si>
    <t xml:space="preserve">Origem</t>
  </si>
  <si>
    <t xml:space="preserve">INC0010234</t>
  </si>
  <si>
    <t xml:space="preserve">2026-07-06</t>
  </si>
  <si>
    <t xml:space="preserve">MM</t>
  </si>
  <si>
    <t xml:space="preserve">S/4HANA</t>
  </si>
  <si>
    <t xml:space="preserve">SAP MM</t>
  </si>
  <si>
    <t xml:space="preserve">Erro ao liberar PO na ME29N</t>
  </si>
  <si>
    <t xml:space="preserve">Usuario recebe 'estrategia de liberacao nao encontrada' ao liberar o pedido.</t>
  </si>
  <si>
    <t xml:space="preserve">P2 - Urgente</t>
  </si>
  <si>
    <t xml:space="preserve">Em andamento</t>
  </si>
  <si>
    <t xml:space="preserve">Time MM</t>
  </si>
  <si>
    <t xml:space="preserve">ServiceToday</t>
  </si>
  <si>
    <t xml:space="preserve">Manual</t>
  </si>
  <si>
    <t xml:space="preserve">INC0010235</t>
  </si>
  <si>
    <t xml:space="preserve">2026-07-07</t>
  </si>
  <si>
    <t xml:space="preserve">ECC</t>
  </si>
  <si>
    <t xml:space="preserve">Divergencia de quantidade no MIGO</t>
  </si>
  <si>
    <t xml:space="preserve">Entrada de mercadoria (101) com diferenca; suspeita de tolerancia mal parametrizada.</t>
  </si>
  <si>
    <t xml:space="preserve">P3 - Medio</t>
  </si>
  <si>
    <t xml:space="preserve">Aberto</t>
  </si>
  <si>
    <t xml:space="preserve">INC0010236</t>
  </si>
  <si>
    <t xml:space="preserve">Material bloqueado para movimentacao</t>
  </si>
  <si>
    <t xml:space="preserve">Status de material 'bloqueado para todas as funcoes' setado indevidamente.</t>
  </si>
  <si>
    <t xml:space="preserve">INC0010237</t>
  </si>
  <si>
    <t xml:space="preserve">2026-07-08</t>
  </si>
  <si>
    <t xml:space="preserve">Bloqueio de fatura por variacao de preco</t>
  </si>
  <si>
    <t xml:space="preserve">MIRO bloqueia a fatura por diferenca de preco acima da tolerancia.</t>
  </si>
  <si>
    <t xml:space="preserve">INC0010238</t>
  </si>
  <si>
    <t xml:space="preserve">PP</t>
  </si>
  <si>
    <t xml:space="preserve">SAP PP</t>
  </si>
  <si>
    <t xml:space="preserve">Ordem de producao nao confirma</t>
  </si>
  <si>
    <t xml:space="preserve">CO11N retorna erro de disponibilidade de componente.</t>
  </si>
  <si>
    <t xml:space="preserve">Time PP</t>
  </si>
  <si>
    <t xml:space="preserve">INC0010239</t>
  </si>
  <si>
    <t xml:space="preserve">2026-07-09</t>
  </si>
  <si>
    <t xml:space="preserve">WM</t>
  </si>
  <si>
    <t xml:space="preserve">SAP WM</t>
  </si>
  <si>
    <t xml:space="preserve">Tarefa de WM sem posicao de destino</t>
  </si>
  <si>
    <t xml:space="preserve">LT01 nao determina o deposito de destino.</t>
  </si>
  <si>
    <t xml:space="preserve">P4 - Leve</t>
  </si>
  <si>
    <t xml:space="preserve">Time WM</t>
  </si>
  <si>
    <t xml:space="preserve">INC0010240</t>
  </si>
  <si>
    <t xml:space="preserve">QM</t>
  </si>
  <si>
    <t xml:space="preserve">SAP QM</t>
  </si>
  <si>
    <t xml:space="preserve">Lote de inspecao nao gerado na entrada</t>
  </si>
  <si>
    <t xml:space="preserve">Entrada nao dispara lote de inspecao apesar do perfil QM ativo.</t>
  </si>
  <si>
    <t xml:space="preserve">Time QM</t>
  </si>
  <si>
    <t xml:space="preserve">INC0010241</t>
  </si>
  <si>
    <t xml:space="preserve">2026-07-10</t>
  </si>
  <si>
    <t xml:space="preserve">Contrato nao aparece na ME21N</t>
  </si>
  <si>
    <t xml:space="preserve">Contrato de fornecimento nao e sugerido ao criar o pedido.</t>
  </si>
  <si>
    <t xml:space="preserve">INC0010242</t>
  </si>
  <si>
    <t xml:space="preserve">RC nao converte em PO automaticamente</t>
  </si>
  <si>
    <t xml:space="preserve">Requisicao liberada nao gera pedido pela ME59N.</t>
  </si>
  <si>
    <t xml:space="preserve">INC0010243</t>
  </si>
  <si>
    <t xml:space="preserve">2026-07-11</t>
  </si>
  <si>
    <t xml:space="preserve">MES</t>
  </si>
  <si>
    <t xml:space="preserve">Integracao/MES</t>
  </si>
  <si>
    <t xml:space="preserve">Falha de integracao SAP x Opcenter</t>
  </si>
  <si>
    <t xml:space="preserve">Ordem nao replica para o MES Opcenter; IDoc em status 51.</t>
  </si>
  <si>
    <t xml:space="preserve">P1 - Critico</t>
  </si>
  <si>
    <t xml:space="preserve">Time Integracao</t>
  </si>
  <si>
    <t xml:space="preserve">INC0010244</t>
  </si>
  <si>
    <t xml:space="preserve">Aponto de producao PAS-X nao retorna ao SAP</t>
  </si>
  <si>
    <t xml:space="preserve">Confirmacao lancada no PAS-X nao atualiza a ordem no SAP.</t>
  </si>
  <si>
    <t xml:space="preserve">INC0010245</t>
  </si>
  <si>
    <t xml:space="preserve">2026-07-13</t>
  </si>
  <si>
    <t xml:space="preserve">Diferenca de estoque apos inventario</t>
  </si>
  <si>
    <t xml:space="preserve">Contagem (MI07) gerou diferenca inesperada em varios materiais.</t>
  </si>
  <si>
    <t xml:space="preserve">INC0010246</t>
  </si>
  <si>
    <t xml:space="preserve">Fornecedor bloqueado para compras</t>
  </si>
  <si>
    <t xml:space="preserve">Pedido nao pode ser criado; fornecedor com bloqueio de compras (XK05).</t>
  </si>
  <si>
    <t xml:space="preserve">INC0010247</t>
  </si>
  <si>
    <t xml:space="preserve">2026-07-14</t>
  </si>
  <si>
    <t xml:space="preserve">MRP nao gera necessidades</t>
  </si>
  <si>
    <t xml:space="preserve">MD01N nao gera requisicoes para materiais abaixo do minimo.</t>
  </si>
  <si>
    <t xml:space="preserve">INC0010248</t>
  </si>
  <si>
    <t xml:space="preserve">Divergencia no picking da remessa</t>
  </si>
  <si>
    <t xml:space="preserve">OT de saida nao baixa a quantidade correta do deposito.</t>
  </si>
  <si>
    <t xml:space="preserve">INC0010249</t>
  </si>
  <si>
    <t xml:space="preserve">2026-07-15</t>
  </si>
  <si>
    <t xml:space="preserve">Condicao de preco nao encontrada</t>
  </si>
  <si>
    <t xml:space="preserve">Pedido nao encontra registro info para determinar o preco.</t>
  </si>
  <si>
    <t xml:space="preserve">INC0010250</t>
  </si>
  <si>
    <t xml:space="preserve">Certificado de qualidade nao emitido</t>
  </si>
  <si>
    <t xml:space="preserve">Sistema nao gera o certificado (QC22) para o lote entregue.</t>
  </si>
  <si>
    <t xml:space="preserve">INC0010251</t>
  </si>
  <si>
    <t xml:space="preserve">2026-07-16</t>
  </si>
  <si>
    <t xml:space="preserve">Divergencia pos-migracao ECC x S/4</t>
  </si>
  <si>
    <t xml:space="preserve">Campos do mestre de material com valores divergentes do ECC.</t>
  </si>
  <si>
    <t xml:space="preserve">INC0010252</t>
  </si>
  <si>
    <t xml:space="preserve">Usuario sem autorizacao para ME21N</t>
  </si>
  <si>
    <t xml:space="preserve">Erro de autorizacao ao criar pedido de compra.</t>
  </si>
  <si>
    <t xml:space="preserve">Time Basis</t>
  </si>
  <si>
    <t xml:space="preserve">INC0010253</t>
  </si>
  <si>
    <t xml:space="preserve">2026-07-17</t>
  </si>
  <si>
    <t xml:space="preserve">BOM desatualizada na ordem</t>
  </si>
  <si>
    <t xml:space="preserve">Ordem explode lista tecnica com componente obsoleto.</t>
  </si>
  <si>
    <t xml:space="preserve">INC0010254</t>
  </si>
  <si>
    <t xml:space="preserve">2026-07-20</t>
  </si>
  <si>
    <t xml:space="preserve">Data de entrega retroativa no pedido</t>
  </si>
  <si>
    <t xml:space="preserve">Sistema permite gravar pedido com data no passado sem alerta.</t>
  </si>
  <si>
    <t xml:space="preserve">INC0010255</t>
  </si>
  <si>
    <t xml:space="preserve">Bloqueio de posicao durante inventario</t>
  </si>
  <si>
    <t xml:space="preserve">Posicoes seguem bloqueadas apos encerramento do inventario ciclico.</t>
  </si>
  <si>
    <t xml:space="preserve">Painel de Chamados - Orla_Tech Consultoria</t>
  </si>
  <si>
    <t xml:space="preserve">Indicador</t>
  </si>
  <si>
    <t xml:space="preserve">Valor</t>
  </si>
  <si>
    <t xml:space="preserve">Total de chamados</t>
  </si>
  <si>
    <t xml:space="preserve">Prioridade P1 - Critico</t>
  </si>
  <si>
    <t xml:space="preserve">Prioridade P2 - Urgente</t>
  </si>
  <si>
    <t xml:space="preserve">Prioridade P3 - Medio</t>
  </si>
  <si>
    <t xml:space="preserve">Prioridade P4 - Leve</t>
  </si>
  <si>
    <t xml:space="preserve">Chamados do modulo MM</t>
  </si>
  <si>
    <t xml:space="preserve">Chamados do modulo PP</t>
  </si>
  <si>
    <t xml:space="preserve">Chamados do modulo QM</t>
  </si>
  <si>
    <t xml:space="preserve">Chamados do modulo WM</t>
  </si>
  <si>
    <t xml:space="preserve">Chamados de Integracao/MES</t>
  </si>
  <si>
    <t xml:space="preserve">Chamados no SAP ECC</t>
  </si>
  <si>
    <t xml:space="preserve">Chamados no SAP S/4HANA</t>
  </si>
  <si>
    <t xml:space="preserve">SLA medio (horas)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</si>
</sst>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  <fill>
      <patternFill patternType="solid">
        <fgColor rgb="FFF4B183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4" t="s">
        <v>20</v>
      </c>
      <c r="I2" s="2" t="s">
        <v>21</v>
      </c>
      <c r="J2" s="2" t="s">
        <v>22</v>
      </c>
      <c r="K2" s="2" t="n">
        <v>8</v>
      </c>
      <c r="L2" s="2" t="s">
        <v>23</v>
      </c>
      <c r="M2" s="2" t="s">
        <v>24</v>
      </c>
    </row>
    <row r="3" customFormat="false" ht="23.85" hidden="false" customHeight="false" outlineLevel="0" collapsed="false">
      <c r="A3" s="2" t="s">
        <v>25</v>
      </c>
      <c r="B3" s="2" t="s">
        <v>26</v>
      </c>
      <c r="C3" s="2" t="s">
        <v>15</v>
      </c>
      <c r="D3" s="2" t="s">
        <v>27</v>
      </c>
      <c r="E3" s="2" t="s">
        <v>17</v>
      </c>
      <c r="F3" s="3" t="s">
        <v>28</v>
      </c>
      <c r="G3" s="3" t="s">
        <v>29</v>
      </c>
      <c r="H3" s="5" t="s">
        <v>30</v>
      </c>
      <c r="I3" s="2" t="s">
        <v>31</v>
      </c>
      <c r="J3" s="2" t="s">
        <v>22</v>
      </c>
      <c r="K3" s="2" t="n">
        <v>16</v>
      </c>
      <c r="L3" s="2" t="s">
        <v>23</v>
      </c>
      <c r="M3" s="2" t="s">
        <v>24</v>
      </c>
    </row>
    <row r="4" customFormat="false" ht="23.85" hidden="false" customHeight="false" outlineLevel="0" collapsed="false">
      <c r="A4" s="2" t="s">
        <v>32</v>
      </c>
      <c r="B4" s="2" t="s">
        <v>26</v>
      </c>
      <c r="C4" s="2" t="s">
        <v>15</v>
      </c>
      <c r="D4" s="2" t="s">
        <v>16</v>
      </c>
      <c r="E4" s="2" t="s">
        <v>17</v>
      </c>
      <c r="F4" s="3" t="s">
        <v>33</v>
      </c>
      <c r="G4" s="3" t="s">
        <v>34</v>
      </c>
      <c r="H4" s="4" t="s">
        <v>20</v>
      </c>
      <c r="I4" s="2" t="s">
        <v>21</v>
      </c>
      <c r="J4" s="2" t="s">
        <v>22</v>
      </c>
      <c r="K4" s="2" t="n">
        <v>8</v>
      </c>
      <c r="L4" s="2" t="s">
        <v>23</v>
      </c>
      <c r="M4" s="2" t="s">
        <v>24</v>
      </c>
    </row>
    <row r="5" customFormat="false" ht="23.85" hidden="false" customHeight="false" outlineLevel="0" collapsed="false">
      <c r="A5" s="2" t="s">
        <v>35</v>
      </c>
      <c r="B5" s="2" t="s">
        <v>36</v>
      </c>
      <c r="C5" s="2" t="s">
        <v>15</v>
      </c>
      <c r="D5" s="2" t="s">
        <v>27</v>
      </c>
      <c r="E5" s="2" t="s">
        <v>17</v>
      </c>
      <c r="F5" s="3" t="s">
        <v>37</v>
      </c>
      <c r="G5" s="3" t="s">
        <v>38</v>
      </c>
      <c r="H5" s="5" t="s">
        <v>30</v>
      </c>
      <c r="I5" s="2" t="s">
        <v>31</v>
      </c>
      <c r="J5" s="2" t="s">
        <v>22</v>
      </c>
      <c r="K5" s="2" t="n">
        <v>16</v>
      </c>
      <c r="L5" s="2" t="s">
        <v>23</v>
      </c>
      <c r="M5" s="2" t="s">
        <v>24</v>
      </c>
    </row>
    <row r="6" customFormat="false" ht="23.85" hidden="false" customHeight="false" outlineLevel="0" collapsed="false">
      <c r="A6" s="2" t="s">
        <v>39</v>
      </c>
      <c r="B6" s="2" t="s">
        <v>36</v>
      </c>
      <c r="C6" s="2" t="s">
        <v>40</v>
      </c>
      <c r="D6" s="2" t="s">
        <v>16</v>
      </c>
      <c r="E6" s="2" t="s">
        <v>41</v>
      </c>
      <c r="F6" s="3" t="s">
        <v>42</v>
      </c>
      <c r="G6" s="3" t="s">
        <v>43</v>
      </c>
      <c r="H6" s="5" t="s">
        <v>30</v>
      </c>
      <c r="I6" s="2" t="s">
        <v>31</v>
      </c>
      <c r="J6" s="2" t="s">
        <v>44</v>
      </c>
      <c r="K6" s="2" t="n">
        <v>16</v>
      </c>
      <c r="L6" s="2" t="s">
        <v>23</v>
      </c>
      <c r="M6" s="2" t="s">
        <v>24</v>
      </c>
    </row>
    <row r="7" customFormat="false" ht="23.85" hidden="false" customHeight="false" outlineLevel="0" collapsed="false">
      <c r="A7" s="2" t="s">
        <v>45</v>
      </c>
      <c r="B7" s="2" t="s">
        <v>46</v>
      </c>
      <c r="C7" s="2" t="s">
        <v>47</v>
      </c>
      <c r="D7" s="2" t="s">
        <v>27</v>
      </c>
      <c r="E7" s="2" t="s">
        <v>48</v>
      </c>
      <c r="F7" s="3" t="s">
        <v>49</v>
      </c>
      <c r="G7" s="3" t="s">
        <v>50</v>
      </c>
      <c r="H7" s="6" t="s">
        <v>51</v>
      </c>
      <c r="I7" s="2" t="s">
        <v>31</v>
      </c>
      <c r="J7" s="2" t="s">
        <v>52</v>
      </c>
      <c r="K7" s="2" t="n">
        <v>24</v>
      </c>
      <c r="L7" s="2" t="s">
        <v>23</v>
      </c>
      <c r="M7" s="2" t="s">
        <v>24</v>
      </c>
    </row>
    <row r="8" customFormat="false" ht="23.85" hidden="false" customHeight="false" outlineLevel="0" collapsed="false">
      <c r="A8" s="2" t="s">
        <v>53</v>
      </c>
      <c r="B8" s="2" t="s">
        <v>46</v>
      </c>
      <c r="C8" s="2" t="s">
        <v>54</v>
      </c>
      <c r="D8" s="2" t="s">
        <v>16</v>
      </c>
      <c r="E8" s="2" t="s">
        <v>55</v>
      </c>
      <c r="F8" s="3" t="s">
        <v>56</v>
      </c>
      <c r="G8" s="3" t="s">
        <v>57</v>
      </c>
      <c r="H8" s="5" t="s">
        <v>30</v>
      </c>
      <c r="I8" s="2" t="s">
        <v>21</v>
      </c>
      <c r="J8" s="2" t="s">
        <v>58</v>
      </c>
      <c r="K8" s="2" t="n">
        <v>16</v>
      </c>
      <c r="L8" s="2" t="s">
        <v>23</v>
      </c>
      <c r="M8" s="2" t="s">
        <v>24</v>
      </c>
    </row>
    <row r="9" customFormat="false" ht="23.85" hidden="false" customHeight="false" outlineLevel="0" collapsed="false">
      <c r="A9" s="2" t="s">
        <v>59</v>
      </c>
      <c r="B9" s="2" t="s">
        <v>60</v>
      </c>
      <c r="C9" s="2" t="s">
        <v>15</v>
      </c>
      <c r="D9" s="2" t="s">
        <v>16</v>
      </c>
      <c r="E9" s="2" t="s">
        <v>17</v>
      </c>
      <c r="F9" s="3" t="s">
        <v>61</v>
      </c>
      <c r="G9" s="3" t="s">
        <v>62</v>
      </c>
      <c r="H9" s="6" t="s">
        <v>51</v>
      </c>
      <c r="I9" s="2" t="s">
        <v>31</v>
      </c>
      <c r="J9" s="2" t="s">
        <v>22</v>
      </c>
      <c r="K9" s="2" t="n">
        <v>24</v>
      </c>
      <c r="L9" s="2" t="s">
        <v>23</v>
      </c>
      <c r="M9" s="2" t="s">
        <v>24</v>
      </c>
    </row>
    <row r="10" customFormat="false" ht="23.85" hidden="false" customHeight="false" outlineLevel="0" collapsed="false">
      <c r="A10" s="2" t="s">
        <v>63</v>
      </c>
      <c r="B10" s="2" t="s">
        <v>60</v>
      </c>
      <c r="C10" s="2" t="s">
        <v>15</v>
      </c>
      <c r="D10" s="2" t="s">
        <v>27</v>
      </c>
      <c r="E10" s="2" t="s">
        <v>17</v>
      </c>
      <c r="F10" s="3" t="s">
        <v>64</v>
      </c>
      <c r="G10" s="3" t="s">
        <v>65</v>
      </c>
      <c r="H10" s="5" t="s">
        <v>30</v>
      </c>
      <c r="I10" s="2" t="s">
        <v>31</v>
      </c>
      <c r="J10" s="2" t="s">
        <v>22</v>
      </c>
      <c r="K10" s="2" t="n">
        <v>16</v>
      </c>
      <c r="L10" s="2" t="s">
        <v>23</v>
      </c>
      <c r="M10" s="2" t="s">
        <v>24</v>
      </c>
    </row>
    <row r="11" customFormat="false" ht="23.85" hidden="false" customHeight="false" outlineLevel="0" collapsed="false">
      <c r="A11" s="2" t="s">
        <v>66</v>
      </c>
      <c r="B11" s="2" t="s">
        <v>67</v>
      </c>
      <c r="C11" s="2" t="s">
        <v>68</v>
      </c>
      <c r="D11" s="2" t="s">
        <v>16</v>
      </c>
      <c r="E11" s="2" t="s">
        <v>69</v>
      </c>
      <c r="F11" s="3" t="s">
        <v>70</v>
      </c>
      <c r="G11" s="3" t="s">
        <v>71</v>
      </c>
      <c r="H11" s="7" t="s">
        <v>72</v>
      </c>
      <c r="I11" s="2" t="s">
        <v>21</v>
      </c>
      <c r="J11" s="2" t="s">
        <v>73</v>
      </c>
      <c r="K11" s="2" t="n">
        <v>4</v>
      </c>
      <c r="L11" s="2" t="s">
        <v>23</v>
      </c>
      <c r="M11" s="2" t="s">
        <v>24</v>
      </c>
    </row>
    <row r="12" customFormat="false" ht="23.85" hidden="false" customHeight="false" outlineLevel="0" collapsed="false">
      <c r="A12" s="2" t="s">
        <v>74</v>
      </c>
      <c r="B12" s="2" t="s">
        <v>67</v>
      </c>
      <c r="C12" s="2" t="s">
        <v>68</v>
      </c>
      <c r="D12" s="2" t="s">
        <v>27</v>
      </c>
      <c r="E12" s="2" t="s">
        <v>69</v>
      </c>
      <c r="F12" s="3" t="s">
        <v>75</v>
      </c>
      <c r="G12" s="3" t="s">
        <v>76</v>
      </c>
      <c r="H12" s="7" t="s">
        <v>72</v>
      </c>
      <c r="I12" s="2" t="s">
        <v>31</v>
      </c>
      <c r="J12" s="2" t="s">
        <v>73</v>
      </c>
      <c r="K12" s="2" t="n">
        <v>4</v>
      </c>
      <c r="L12" s="2" t="s">
        <v>23</v>
      </c>
      <c r="M12" s="2" t="s">
        <v>24</v>
      </c>
    </row>
    <row r="13" customFormat="false" ht="23.85" hidden="false" customHeight="false" outlineLevel="0" collapsed="false">
      <c r="A13" s="2" t="s">
        <v>77</v>
      </c>
      <c r="B13" s="2" t="s">
        <v>78</v>
      </c>
      <c r="C13" s="2" t="s">
        <v>15</v>
      </c>
      <c r="D13" s="2" t="s">
        <v>16</v>
      </c>
      <c r="E13" s="2" t="s">
        <v>17</v>
      </c>
      <c r="F13" s="3" t="s">
        <v>79</v>
      </c>
      <c r="G13" s="3" t="s">
        <v>80</v>
      </c>
      <c r="H13" s="5" t="s">
        <v>30</v>
      </c>
      <c r="I13" s="2" t="s">
        <v>31</v>
      </c>
      <c r="J13" s="2" t="s">
        <v>22</v>
      </c>
      <c r="K13" s="2" t="n">
        <v>16</v>
      </c>
      <c r="L13" s="2" t="s">
        <v>23</v>
      </c>
      <c r="M13" s="2" t="s">
        <v>24</v>
      </c>
    </row>
    <row r="14" customFormat="false" ht="23.85" hidden="false" customHeight="false" outlineLevel="0" collapsed="false">
      <c r="A14" s="2" t="s">
        <v>81</v>
      </c>
      <c r="B14" s="2" t="s">
        <v>78</v>
      </c>
      <c r="C14" s="2" t="s">
        <v>15</v>
      </c>
      <c r="D14" s="2" t="s">
        <v>27</v>
      </c>
      <c r="E14" s="2" t="s">
        <v>17</v>
      </c>
      <c r="F14" s="3" t="s">
        <v>82</v>
      </c>
      <c r="G14" s="3" t="s">
        <v>83</v>
      </c>
      <c r="H14" s="4" t="s">
        <v>20</v>
      </c>
      <c r="I14" s="2" t="s">
        <v>21</v>
      </c>
      <c r="J14" s="2" t="s">
        <v>22</v>
      </c>
      <c r="K14" s="2" t="n">
        <v>8</v>
      </c>
      <c r="L14" s="2" t="s">
        <v>23</v>
      </c>
      <c r="M14" s="2" t="s">
        <v>24</v>
      </c>
    </row>
    <row r="15" customFormat="false" ht="23.85" hidden="false" customHeight="false" outlineLevel="0" collapsed="false">
      <c r="A15" s="2" t="s">
        <v>84</v>
      </c>
      <c r="B15" s="2" t="s">
        <v>85</v>
      </c>
      <c r="C15" s="2" t="s">
        <v>40</v>
      </c>
      <c r="D15" s="2" t="s">
        <v>16</v>
      </c>
      <c r="E15" s="2" t="s">
        <v>41</v>
      </c>
      <c r="F15" s="3" t="s">
        <v>86</v>
      </c>
      <c r="G15" s="3" t="s">
        <v>87</v>
      </c>
      <c r="H15" s="5" t="s">
        <v>30</v>
      </c>
      <c r="I15" s="2" t="s">
        <v>31</v>
      </c>
      <c r="J15" s="2" t="s">
        <v>44</v>
      </c>
      <c r="K15" s="2" t="n">
        <v>16</v>
      </c>
      <c r="L15" s="2" t="s">
        <v>23</v>
      </c>
      <c r="M15" s="2" t="s">
        <v>24</v>
      </c>
    </row>
    <row r="16" customFormat="false" ht="23.85" hidden="false" customHeight="false" outlineLevel="0" collapsed="false">
      <c r="A16" s="2" t="s">
        <v>88</v>
      </c>
      <c r="B16" s="2" t="s">
        <v>85</v>
      </c>
      <c r="C16" s="2" t="s">
        <v>47</v>
      </c>
      <c r="D16" s="2" t="s">
        <v>27</v>
      </c>
      <c r="E16" s="2" t="s">
        <v>48</v>
      </c>
      <c r="F16" s="3" t="s">
        <v>89</v>
      </c>
      <c r="G16" s="3" t="s">
        <v>90</v>
      </c>
      <c r="H16" s="6" t="s">
        <v>51</v>
      </c>
      <c r="I16" s="2" t="s">
        <v>31</v>
      </c>
      <c r="J16" s="2" t="s">
        <v>52</v>
      </c>
      <c r="K16" s="2" t="n">
        <v>24</v>
      </c>
      <c r="L16" s="2" t="s">
        <v>23</v>
      </c>
      <c r="M16" s="2" t="s">
        <v>24</v>
      </c>
    </row>
    <row r="17" customFormat="false" ht="23.85" hidden="false" customHeight="false" outlineLevel="0" collapsed="false">
      <c r="A17" s="2" t="s">
        <v>91</v>
      </c>
      <c r="B17" s="2" t="s">
        <v>92</v>
      </c>
      <c r="C17" s="2" t="s">
        <v>15</v>
      </c>
      <c r="D17" s="2" t="s">
        <v>16</v>
      </c>
      <c r="E17" s="2" t="s">
        <v>17</v>
      </c>
      <c r="F17" s="3" t="s">
        <v>93</v>
      </c>
      <c r="G17" s="3" t="s">
        <v>94</v>
      </c>
      <c r="H17" s="5" t="s">
        <v>30</v>
      </c>
      <c r="I17" s="2" t="s">
        <v>31</v>
      </c>
      <c r="J17" s="2" t="s">
        <v>22</v>
      </c>
      <c r="K17" s="2" t="n">
        <v>16</v>
      </c>
      <c r="L17" s="2" t="s">
        <v>23</v>
      </c>
      <c r="M17" s="2" t="s">
        <v>24</v>
      </c>
    </row>
    <row r="18" customFormat="false" ht="23.85" hidden="false" customHeight="false" outlineLevel="0" collapsed="false">
      <c r="A18" s="2" t="s">
        <v>95</v>
      </c>
      <c r="B18" s="2" t="s">
        <v>92</v>
      </c>
      <c r="C18" s="2" t="s">
        <v>54</v>
      </c>
      <c r="D18" s="2" t="s">
        <v>27</v>
      </c>
      <c r="E18" s="2" t="s">
        <v>55</v>
      </c>
      <c r="F18" s="3" t="s">
        <v>96</v>
      </c>
      <c r="G18" s="3" t="s">
        <v>97</v>
      </c>
      <c r="H18" s="6" t="s">
        <v>51</v>
      </c>
      <c r="I18" s="2" t="s">
        <v>31</v>
      </c>
      <c r="J18" s="2" t="s">
        <v>58</v>
      </c>
      <c r="K18" s="2" t="n">
        <v>24</v>
      </c>
      <c r="L18" s="2" t="s">
        <v>23</v>
      </c>
      <c r="M18" s="2" t="s">
        <v>24</v>
      </c>
    </row>
    <row r="19" customFormat="false" ht="23.85" hidden="false" customHeight="false" outlineLevel="0" collapsed="false">
      <c r="A19" s="2" t="s">
        <v>98</v>
      </c>
      <c r="B19" s="2" t="s">
        <v>99</v>
      </c>
      <c r="C19" s="2" t="s">
        <v>15</v>
      </c>
      <c r="D19" s="2" t="s">
        <v>16</v>
      </c>
      <c r="E19" s="2" t="s">
        <v>17</v>
      </c>
      <c r="F19" s="3" t="s">
        <v>100</v>
      </c>
      <c r="G19" s="3" t="s">
        <v>101</v>
      </c>
      <c r="H19" s="4" t="s">
        <v>20</v>
      </c>
      <c r="I19" s="2" t="s">
        <v>21</v>
      </c>
      <c r="J19" s="2" t="s">
        <v>22</v>
      </c>
      <c r="K19" s="2" t="n">
        <v>8</v>
      </c>
      <c r="L19" s="2" t="s">
        <v>23</v>
      </c>
      <c r="M19" s="2" t="s">
        <v>24</v>
      </c>
    </row>
    <row r="20" customFormat="false" ht="23.85" hidden="false" customHeight="false" outlineLevel="0" collapsed="false">
      <c r="A20" s="2" t="s">
        <v>102</v>
      </c>
      <c r="B20" s="2" t="s">
        <v>99</v>
      </c>
      <c r="C20" s="2" t="s">
        <v>15</v>
      </c>
      <c r="D20" s="2" t="s">
        <v>27</v>
      </c>
      <c r="E20" s="2" t="s">
        <v>17</v>
      </c>
      <c r="F20" s="3" t="s">
        <v>103</v>
      </c>
      <c r="G20" s="3" t="s">
        <v>104</v>
      </c>
      <c r="H20" s="5" t="s">
        <v>30</v>
      </c>
      <c r="I20" s="2" t="s">
        <v>31</v>
      </c>
      <c r="J20" s="2" t="s">
        <v>105</v>
      </c>
      <c r="K20" s="2" t="n">
        <v>16</v>
      </c>
      <c r="L20" s="2" t="s">
        <v>23</v>
      </c>
      <c r="M20" s="2" t="s">
        <v>24</v>
      </c>
    </row>
    <row r="21" customFormat="false" ht="23.85" hidden="false" customHeight="false" outlineLevel="0" collapsed="false">
      <c r="A21" s="2" t="s">
        <v>106</v>
      </c>
      <c r="B21" s="2" t="s">
        <v>107</v>
      </c>
      <c r="C21" s="2" t="s">
        <v>40</v>
      </c>
      <c r="D21" s="2" t="s">
        <v>16</v>
      </c>
      <c r="E21" s="2" t="s">
        <v>41</v>
      </c>
      <c r="F21" s="3" t="s">
        <v>108</v>
      </c>
      <c r="G21" s="3" t="s">
        <v>109</v>
      </c>
      <c r="H21" s="6" t="s">
        <v>51</v>
      </c>
      <c r="I21" s="2" t="s">
        <v>31</v>
      </c>
      <c r="J21" s="2" t="s">
        <v>44</v>
      </c>
      <c r="K21" s="2" t="n">
        <v>24</v>
      </c>
      <c r="L21" s="2" t="s">
        <v>23</v>
      </c>
      <c r="M21" s="2" t="s">
        <v>24</v>
      </c>
    </row>
    <row r="22" customFormat="false" ht="23.85" hidden="false" customHeight="false" outlineLevel="0" collapsed="false">
      <c r="A22" s="2" t="s">
        <v>110</v>
      </c>
      <c r="B22" s="2" t="s">
        <v>111</v>
      </c>
      <c r="C22" s="2" t="s">
        <v>15</v>
      </c>
      <c r="D22" s="2" t="s">
        <v>16</v>
      </c>
      <c r="E22" s="2" t="s">
        <v>17</v>
      </c>
      <c r="F22" s="3" t="s">
        <v>112</v>
      </c>
      <c r="G22" s="3" t="s">
        <v>113</v>
      </c>
      <c r="H22" s="6" t="s">
        <v>51</v>
      </c>
      <c r="I22" s="2" t="s">
        <v>31</v>
      </c>
      <c r="J22" s="2" t="s">
        <v>22</v>
      </c>
      <c r="K22" s="2" t="n">
        <v>24</v>
      </c>
      <c r="L22" s="2" t="s">
        <v>23</v>
      </c>
      <c r="M22" s="2" t="s">
        <v>24</v>
      </c>
    </row>
    <row r="23" customFormat="false" ht="23.85" hidden="false" customHeight="false" outlineLevel="0" collapsed="false">
      <c r="A23" s="2" t="s">
        <v>114</v>
      </c>
      <c r="B23" s="2" t="s">
        <v>111</v>
      </c>
      <c r="C23" s="2" t="s">
        <v>47</v>
      </c>
      <c r="D23" s="2" t="s">
        <v>16</v>
      </c>
      <c r="E23" s="2" t="s">
        <v>48</v>
      </c>
      <c r="F23" s="3" t="s">
        <v>115</v>
      </c>
      <c r="G23" s="3" t="s">
        <v>116</v>
      </c>
      <c r="H23" s="5" t="s">
        <v>30</v>
      </c>
      <c r="I23" s="2" t="s">
        <v>21</v>
      </c>
      <c r="J23" s="2" t="s">
        <v>52</v>
      </c>
      <c r="K23" s="2" t="n">
        <v>16</v>
      </c>
      <c r="L23" s="2" t="s">
        <v>23</v>
      </c>
      <c r="M23" s="2" t="s">
        <v>24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8" t="s">
        <v>117</v>
      </c>
      <c r="B1" s="8"/>
      <c r="C1" s="8"/>
    </row>
    <row r="3" customFormat="false" ht="15" hidden="false" customHeight="false" outlineLevel="0" collapsed="false">
      <c r="A3" s="1" t="s">
        <v>118</v>
      </c>
      <c r="B3" s="1" t="s">
        <v>119</v>
      </c>
    </row>
    <row r="4" customFormat="false" ht="15" hidden="false" customHeight="false" outlineLevel="0" collapsed="false">
      <c r="A4" s="9" t="s">
        <v>120</v>
      </c>
      <c r="B4" s="10" t="n">
        <f aca="false">COUNTA(Chamados_Abertos!A2:A23)</f>
        <v>22</v>
      </c>
    </row>
    <row r="5" customFormat="false" ht="15" hidden="false" customHeight="false" outlineLevel="0" collapsed="false">
      <c r="A5" s="9" t="s">
        <v>121</v>
      </c>
      <c r="B5" s="10" t="n">
        <f aca="false">COUNTIF(Chamados_Abertos!H2:H23,"P1*")</f>
        <v>2</v>
      </c>
    </row>
    <row r="6" customFormat="false" ht="15" hidden="false" customHeight="false" outlineLevel="0" collapsed="false">
      <c r="A6" s="9" t="s">
        <v>122</v>
      </c>
      <c r="B6" s="10" t="n">
        <f aca="false">COUNTIF(Chamados_Abertos!H2:H23,"P2*")</f>
        <v>4</v>
      </c>
    </row>
    <row r="7" customFormat="false" ht="15" hidden="false" customHeight="false" outlineLevel="0" collapsed="false">
      <c r="A7" s="9" t="s">
        <v>123</v>
      </c>
      <c r="B7" s="10" t="n">
        <f aca="false">COUNTIF(Chamados_Abertos!H2:H23,"P3*")</f>
        <v>10</v>
      </c>
    </row>
    <row r="8" customFormat="false" ht="15" hidden="false" customHeight="false" outlineLevel="0" collapsed="false">
      <c r="A8" s="9" t="s">
        <v>124</v>
      </c>
      <c r="B8" s="10" t="n">
        <f aca="false">COUNTIF(Chamados_Abertos!H2:H23,"P4*")</f>
        <v>6</v>
      </c>
    </row>
    <row r="9" customFormat="false" ht="15" hidden="false" customHeight="false" outlineLevel="0" collapsed="false">
      <c r="A9" s="9" t="s">
        <v>125</v>
      </c>
      <c r="B9" s="10" t="n">
        <f aca="false">COUNTIF(Chamados_Abertos!C2:C23,"MM")</f>
        <v>12</v>
      </c>
    </row>
    <row r="10" customFormat="false" ht="15" hidden="false" customHeight="false" outlineLevel="0" collapsed="false">
      <c r="A10" s="9" t="s">
        <v>126</v>
      </c>
      <c r="B10" s="10" t="n">
        <f aca="false">COUNTIF(Chamados_Abertos!C2:C23,"PP")</f>
        <v>3</v>
      </c>
    </row>
    <row r="11" customFormat="false" ht="15" hidden="false" customHeight="false" outlineLevel="0" collapsed="false">
      <c r="A11" s="9" t="s">
        <v>127</v>
      </c>
      <c r="B11" s="10" t="n">
        <f aca="false">COUNTIF(Chamados_Abertos!C2:C23,"QM")</f>
        <v>2</v>
      </c>
    </row>
    <row r="12" customFormat="false" ht="15" hidden="false" customHeight="false" outlineLevel="0" collapsed="false">
      <c r="A12" s="9" t="s">
        <v>128</v>
      </c>
      <c r="B12" s="10" t="n">
        <f aca="false">COUNTIF(Chamados_Abertos!C2:C23,"WM")</f>
        <v>3</v>
      </c>
    </row>
    <row r="13" customFormat="false" ht="15" hidden="false" customHeight="false" outlineLevel="0" collapsed="false">
      <c r="A13" s="9" t="s">
        <v>129</v>
      </c>
      <c r="B13" s="10" t="n">
        <f aca="false">COUNTIF(Chamados_Abertos!C2:C23,"MES")</f>
        <v>2</v>
      </c>
    </row>
    <row r="14" customFormat="false" ht="15" hidden="false" customHeight="false" outlineLevel="0" collapsed="false">
      <c r="A14" s="9" t="s">
        <v>130</v>
      </c>
      <c r="B14" s="10" t="n">
        <f aca="false">COUNTIF(Chamados_Abertos!D2:D23,"ECC")</f>
        <v>9</v>
      </c>
    </row>
    <row r="15" customFormat="false" ht="15" hidden="false" customHeight="false" outlineLevel="0" collapsed="false">
      <c r="A15" s="9" t="s">
        <v>131</v>
      </c>
      <c r="B15" s="10" t="n">
        <f aca="false">COUNTIF(Chamados_Abertos!D2:D23,"S/4HANA")</f>
        <v>13</v>
      </c>
    </row>
    <row r="16" customFormat="false" ht="15" hidden="false" customHeight="false" outlineLevel="0" collapsed="false">
      <c r="A16" s="9" t="s">
        <v>132</v>
      </c>
      <c r="B16" s="10" t="n">
        <f aca="false">ROUND(AVERAGE(Chamados_Abertos!K2:K23),1)</f>
        <v>15.6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2026-07-22T19:31:47Z</dcterms:created>
  <dc:creator>openpyxl</dc:creator>
  <dc:description/>
  <dc:language>en-US</dc:language>
  <cp:lastModifiedBy/>
  <dcterms:modified xsi:type="dcterms:W3CDTF">2026-07-22T19:31:47Z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